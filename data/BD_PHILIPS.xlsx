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MIS DOCUMENTOS\DOCENCIA\DOCENCIA GRADO\Libro Econometria Basica\EconometriaBasica\"/>
    </mc:Choice>
  </mc:AlternateContent>
  <bookViews>
    <workbookView xWindow="0" yWindow="0" windowWidth="15360" windowHeight="750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4" i="1"/>
  <c r="D2" i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<sst xmlns="http://schemas.openxmlformats.org/spreadsheetml/2006/main" count="6" uniqueCount="6">
  <si>
    <t>https://www.ine.es/jaxiT3/Datos.htm?t=65995#_tabs-tabla</t>
  </si>
  <si>
    <t>https://www.ine.es/jaxiT3/Datos.htm?t=50934#_tabs-tabla</t>
  </si>
  <si>
    <t>YEAR</t>
  </si>
  <si>
    <t>Inflacion</t>
  </si>
  <si>
    <t>Desempleo</t>
  </si>
  <si>
    <t>PrecioEnergia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</si>
</sst>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7"/>
      <color rgb="FF455F7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Border="1"/>
    <xf numFmtId="0" fontId="0" fillId="0" borderId="0" xfId="0" applyBorder="1"/>
    <xf numFmtId="4" fontId="1" fillId="0" borderId="0" xfId="1" applyNumberFormat="1" applyFont="1" applyFill="1" applyBorder="1" applyAlignment="1" applyProtection="1">
      <alignment horizontal="right" vertical="center"/>
    </xf>
    <xf numFmtId="0" fontId="2" fillId="0" borderId="0" xfId="0" applyFont="1"/>
  </cellXfs>
  <cellStyles count="7">
    <cellStyle name="Comma" xfId="5"/>
    <cellStyle name="Comma [0]" xfId="6"/>
    <cellStyle name="Currency" xfId="3"/>
    <cellStyle name="Currency [0]" xfId="4"/>
    <cellStyle name="Normal" xfId="0" builtinId="0"/>
    <cellStyle name="Normal 2" xfId="1"/>
    <cellStyle name="Percent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G8" sqref="G8"/>
    </sheetView>
  </sheetViews>
  <sheetFormatPr baseColWidth="10" defaultRowHeight="15" x14ac:dyDescent="0.25"/>
  <sheetData>
    <row r="1" spans="1:5" ht="22.5" x14ac:dyDescent="0.35">
      <c r="A1" t="s">
        <v>2</v>
      </c>
      <c r="B1" t="s">
        <v>3</v>
      </c>
      <c r="C1" t="s">
        <v>4</v>
      </c>
      <c r="D1" t="s">
        <v>5</v>
      </c>
      <c r="E1" s="4"/>
    </row>
    <row r="2" spans="1:5" x14ac:dyDescent="0.25">
      <c r="A2">
        <v>2006</v>
      </c>
      <c r="B2">
        <v>3.5</v>
      </c>
      <c r="C2">
        <v>8.4499999999999993</v>
      </c>
      <c r="D2">
        <f>(46.89+47.27)/2</f>
        <v>47.08</v>
      </c>
    </row>
    <row r="3" spans="1:5" x14ac:dyDescent="0.25">
      <c r="A3">
        <f>A2+1</f>
        <v>2007</v>
      </c>
      <c r="B3">
        <v>2.8</v>
      </c>
      <c r="C3">
        <v>8.23</v>
      </c>
      <c r="D3">
        <v>48.59</v>
      </c>
    </row>
    <row r="4" spans="1:5" x14ac:dyDescent="0.25">
      <c r="A4">
        <f t="shared" ref="A4:A11" si="0">A3+1</f>
        <v>2008</v>
      </c>
      <c r="B4">
        <v>4.0999999999999996</v>
      </c>
      <c r="C4">
        <v>11.25</v>
      </c>
      <c r="D4">
        <f>(50.2+55.31)/2</f>
        <v>52.755000000000003</v>
      </c>
    </row>
    <row r="5" spans="1:5" x14ac:dyDescent="0.25">
      <c r="A5">
        <f t="shared" si="0"/>
        <v>2009</v>
      </c>
      <c r="B5">
        <v>-0.3</v>
      </c>
      <c r="C5">
        <v>17.86</v>
      </c>
      <c r="D5">
        <f>(57.29+60.19)/2</f>
        <v>58.739999999999995</v>
      </c>
    </row>
    <row r="6" spans="1:5" x14ac:dyDescent="0.25">
      <c r="A6">
        <f t="shared" si="0"/>
        <v>2010</v>
      </c>
      <c r="B6">
        <v>1.8</v>
      </c>
      <c r="C6">
        <v>19.86</v>
      </c>
      <c r="D6" s="3">
        <v>45.83</v>
      </c>
    </row>
    <row r="7" spans="1:5" x14ac:dyDescent="0.25">
      <c r="A7">
        <f t="shared" si="0"/>
        <v>2011</v>
      </c>
      <c r="B7">
        <v>3.2</v>
      </c>
      <c r="C7">
        <v>21.39</v>
      </c>
      <c r="D7" s="3">
        <v>60.22</v>
      </c>
    </row>
    <row r="8" spans="1:5" x14ac:dyDescent="0.25">
      <c r="A8">
        <f t="shared" si="0"/>
        <v>2012</v>
      </c>
      <c r="B8">
        <v>2.4</v>
      </c>
      <c r="C8">
        <v>24.79</v>
      </c>
      <c r="D8" s="3">
        <v>59.57</v>
      </c>
    </row>
    <row r="9" spans="1:5" x14ac:dyDescent="0.25">
      <c r="A9">
        <f t="shared" si="0"/>
        <v>2013</v>
      </c>
      <c r="B9">
        <v>1.4</v>
      </c>
      <c r="C9">
        <v>26.09</v>
      </c>
      <c r="D9" s="3">
        <v>57.79</v>
      </c>
    </row>
    <row r="10" spans="1:5" x14ac:dyDescent="0.25">
      <c r="A10">
        <f t="shared" si="0"/>
        <v>2014</v>
      </c>
      <c r="B10">
        <v>-0.2</v>
      </c>
      <c r="C10">
        <v>24.44</v>
      </c>
      <c r="D10" s="3">
        <v>55.05</v>
      </c>
    </row>
    <row r="11" spans="1:5" x14ac:dyDescent="0.25">
      <c r="A11">
        <f t="shared" si="0"/>
        <v>2015</v>
      </c>
      <c r="B11" s="2">
        <v>-0.5</v>
      </c>
      <c r="C11" s="2">
        <v>22.06</v>
      </c>
      <c r="D11" s="3">
        <v>62.84</v>
      </c>
    </row>
    <row r="12" spans="1:5" x14ac:dyDescent="0.25">
      <c r="A12">
        <f>A11+1</f>
        <v>2016</v>
      </c>
      <c r="B12" s="1">
        <v>-0.2</v>
      </c>
      <c r="C12" s="1">
        <v>19.63</v>
      </c>
      <c r="D12" s="3">
        <v>48.42</v>
      </c>
    </row>
    <row r="13" spans="1:5" x14ac:dyDescent="0.25">
      <c r="A13">
        <f t="shared" ref="A13:A20" si="1">A12+1</f>
        <v>2017</v>
      </c>
      <c r="B13" s="1">
        <v>2</v>
      </c>
      <c r="C13">
        <v>17.22</v>
      </c>
      <c r="D13" s="3">
        <v>60.55</v>
      </c>
    </row>
    <row r="14" spans="1:5" x14ac:dyDescent="0.25">
      <c r="A14">
        <f t="shared" si="1"/>
        <v>2018</v>
      </c>
      <c r="B14" s="1">
        <v>1.7</v>
      </c>
      <c r="C14">
        <v>15.25</v>
      </c>
      <c r="D14" s="3">
        <v>64.37</v>
      </c>
    </row>
    <row r="15" spans="1:5" x14ac:dyDescent="0.25">
      <c r="A15">
        <f t="shared" si="1"/>
        <v>2019</v>
      </c>
      <c r="B15" s="1">
        <v>0.7</v>
      </c>
      <c r="C15">
        <v>14.1</v>
      </c>
      <c r="D15" s="3">
        <v>53.41</v>
      </c>
    </row>
    <row r="16" spans="1:5" x14ac:dyDescent="0.25">
      <c r="A16">
        <f t="shared" si="1"/>
        <v>2020</v>
      </c>
      <c r="B16" s="1">
        <v>-0.3</v>
      </c>
      <c r="C16">
        <v>15.53</v>
      </c>
      <c r="D16" s="3">
        <v>40.369999999999997</v>
      </c>
    </row>
    <row r="17" spans="1:4" x14ac:dyDescent="0.25">
      <c r="A17">
        <f t="shared" si="1"/>
        <v>2021</v>
      </c>
      <c r="B17" s="1">
        <v>3.1</v>
      </c>
      <c r="C17">
        <v>14.91</v>
      </c>
      <c r="D17" s="3">
        <v>118.7</v>
      </c>
    </row>
    <row r="18" spans="1:4" x14ac:dyDescent="0.25">
      <c r="A18">
        <f t="shared" si="1"/>
        <v>2022</v>
      </c>
      <c r="B18" s="1">
        <v>8.4</v>
      </c>
      <c r="C18">
        <v>13.03</v>
      </c>
      <c r="D18" s="3">
        <v>204.3</v>
      </c>
    </row>
    <row r="19" spans="1:4" x14ac:dyDescent="0.25">
      <c r="A19">
        <f>A18+1</f>
        <v>2023</v>
      </c>
      <c r="B19" s="1">
        <v>3.5</v>
      </c>
      <c r="C19">
        <v>12.18</v>
      </c>
      <c r="D19" s="3">
        <v>99.4</v>
      </c>
    </row>
    <row r="20" spans="1:4" x14ac:dyDescent="0.25">
      <c r="A20">
        <f t="shared" si="1"/>
        <v>2024</v>
      </c>
      <c r="B20" s="1">
        <v>2.8</v>
      </c>
      <c r="C20">
        <v>11.34</v>
      </c>
      <c r="D20" s="3">
        <v>57.6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D15" sqref="D15"/>
    </sheetView>
  </sheetViews>
  <sheetFormatPr baseColWidth="10" defaultRowHeight="15" x14ac:dyDescent="0.25"/>
  <sheetData>
    <row r="3" spans="1:1" x14ac:dyDescent="0.25">
      <c r="A3" t="s">
        <v>0</v>
      </c>
    </row>
    <row r="4" spans="1:1" x14ac:dyDescent="0.25">
      <c r="A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2025-09-30T16:56:39Z</dcterms:created>
  <dcterms:modified xsi:type="dcterms:W3CDTF">2025-11-03T18:20:06Z</dcterms:modified>
</cp:coreProperties>
</file>